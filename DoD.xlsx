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lid Ha\Desktop\Compliance Repot SW Region\Ali\"/>
    </mc:Choice>
  </mc:AlternateContent>
  <xr:revisionPtr revIDLastSave="0" documentId="13_ncr:1_{77FF4215-B4DA-467A-80DB-4AF7321B1738}" xr6:coauthVersionLast="47" xr6:coauthVersionMax="47" xr10:uidLastSave="{00000000-0000-0000-0000-000000000000}"/>
  <bookViews>
    <workbookView xWindow="43080" yWindow="-90" windowWidth="38640" windowHeight="21120" xr2:uid="{84C41710-C132-40E0-969B-F4FD9909F2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E26" i="1"/>
  <c r="F26" i="1"/>
  <c r="G26" i="1"/>
  <c r="H26" i="1"/>
  <c r="I26" i="1"/>
  <c r="J26" i="1"/>
  <c r="K26" i="1"/>
  <c r="L26" i="1"/>
  <c r="M26" i="1"/>
  <c r="N26" i="1"/>
  <c r="D27" i="1"/>
  <c r="E27" i="1"/>
  <c r="F27" i="1"/>
  <c r="G27" i="1"/>
  <c r="H27" i="1"/>
  <c r="I27" i="1"/>
  <c r="J27" i="1"/>
  <c r="K27" i="1"/>
  <c r="L27" i="1"/>
  <c r="M27" i="1"/>
  <c r="N27" i="1"/>
  <c r="D28" i="1"/>
  <c r="E28" i="1"/>
  <c r="F28" i="1"/>
  <c r="G28" i="1"/>
  <c r="H28" i="1"/>
  <c r="I28" i="1"/>
  <c r="J28" i="1"/>
  <c r="K28" i="1"/>
  <c r="L28" i="1"/>
  <c r="M28" i="1"/>
  <c r="N28" i="1"/>
  <c r="D29" i="1"/>
  <c r="E29" i="1"/>
  <c r="F29" i="1"/>
  <c r="G29" i="1"/>
  <c r="H29" i="1"/>
  <c r="I29" i="1"/>
  <c r="J29" i="1"/>
  <c r="K29" i="1"/>
  <c r="L29" i="1"/>
  <c r="M29" i="1"/>
  <c r="N29" i="1"/>
  <c r="D30" i="1"/>
  <c r="E30" i="1"/>
  <c r="F30" i="1"/>
  <c r="G30" i="1"/>
  <c r="H30" i="1"/>
  <c r="I30" i="1"/>
  <c r="J30" i="1"/>
  <c r="K30" i="1"/>
  <c r="L30" i="1"/>
  <c r="M30" i="1"/>
  <c r="N30" i="1"/>
  <c r="D31" i="1"/>
  <c r="E31" i="1"/>
  <c r="F31" i="1"/>
  <c r="G31" i="1"/>
  <c r="H31" i="1"/>
  <c r="I31" i="1"/>
  <c r="J31" i="1"/>
  <c r="K31" i="1"/>
  <c r="L31" i="1"/>
  <c r="M31" i="1"/>
  <c r="N31" i="1"/>
  <c r="D32" i="1"/>
  <c r="E32" i="1"/>
  <c r="F32" i="1"/>
  <c r="G32" i="1"/>
  <c r="H32" i="1"/>
  <c r="I32" i="1"/>
  <c r="J32" i="1"/>
  <c r="K32" i="1"/>
  <c r="L32" i="1"/>
  <c r="M32" i="1"/>
  <c r="N32" i="1"/>
  <c r="D33" i="1"/>
  <c r="E33" i="1"/>
  <c r="F33" i="1"/>
  <c r="G33" i="1"/>
  <c r="H33" i="1"/>
  <c r="I33" i="1"/>
  <c r="J33" i="1"/>
  <c r="K33" i="1"/>
  <c r="L33" i="1"/>
  <c r="M33" i="1"/>
  <c r="N33" i="1"/>
  <c r="D34" i="1"/>
  <c r="E34" i="1"/>
  <c r="F34" i="1"/>
  <c r="G34" i="1"/>
  <c r="H34" i="1"/>
  <c r="I34" i="1"/>
  <c r="J34" i="1"/>
  <c r="K34" i="1"/>
  <c r="L34" i="1"/>
  <c r="M34" i="1"/>
  <c r="N34" i="1"/>
  <c r="D35" i="1"/>
  <c r="E35" i="1"/>
  <c r="F35" i="1"/>
  <c r="G35" i="1"/>
  <c r="H35" i="1"/>
  <c r="I35" i="1"/>
  <c r="J35" i="1"/>
  <c r="K35" i="1"/>
  <c r="L35" i="1"/>
  <c r="M35" i="1"/>
  <c r="N35" i="1"/>
  <c r="D36" i="1"/>
  <c r="E36" i="1"/>
  <c r="F36" i="1"/>
  <c r="G36" i="1"/>
  <c r="H36" i="1"/>
  <c r="I36" i="1"/>
  <c r="J36" i="1"/>
  <c r="K36" i="1"/>
  <c r="L36" i="1"/>
  <c r="M36" i="1"/>
  <c r="N36" i="1"/>
  <c r="D37" i="1"/>
  <c r="E37" i="1"/>
  <c r="F37" i="1"/>
  <c r="G37" i="1"/>
  <c r="H37" i="1"/>
  <c r="I37" i="1"/>
  <c r="J37" i="1"/>
  <c r="K37" i="1"/>
  <c r="L37" i="1"/>
  <c r="M37" i="1"/>
  <c r="N37" i="1"/>
  <c r="D38" i="1"/>
  <c r="E38" i="1"/>
  <c r="F38" i="1"/>
  <c r="G38" i="1"/>
  <c r="H38" i="1"/>
  <c r="I38" i="1"/>
  <c r="J38" i="1"/>
  <c r="K38" i="1"/>
  <c r="L38" i="1"/>
  <c r="M38" i="1"/>
  <c r="N38" i="1"/>
  <c r="D39" i="1"/>
  <c r="E39" i="1"/>
  <c r="F39" i="1"/>
  <c r="G39" i="1"/>
  <c r="H39" i="1"/>
  <c r="I39" i="1"/>
  <c r="J39" i="1"/>
  <c r="K39" i="1"/>
  <c r="L39" i="1"/>
  <c r="M39" i="1"/>
  <c r="N39" i="1"/>
  <c r="K25" i="1"/>
  <c r="N25" i="1"/>
  <c r="M25" i="1"/>
  <c r="L25" i="1"/>
  <c r="J25" i="1"/>
  <c r="I25" i="1"/>
  <c r="H25" i="1"/>
  <c r="G25" i="1"/>
  <c r="F25" i="1"/>
  <c r="E25" i="1"/>
  <c r="D25" i="1"/>
</calcChain>
</file>

<file path=xl/sharedStrings.xml><?xml version="1.0" encoding="utf-8"?>
<sst xmlns="http://schemas.openxmlformats.org/spreadsheetml/2006/main" count="132" uniqueCount="35">
  <si>
    <t>city_id</t>
  </si>
  <si>
    <t>city_name_en</t>
  </si>
  <si>
    <t>manager_mis_ids</t>
  </si>
  <si>
    <t>Sequence with More 3</t>
  </si>
  <si>
    <t>Sequence with More 3 %</t>
  </si>
  <si>
    <t>Sequence with More 9</t>
  </si>
  <si>
    <t>Couriers cheating</t>
  </si>
  <si>
    <t>Couriers with active driver card</t>
  </si>
  <si>
    <t>Couriers with driver card Expired</t>
  </si>
  <si>
    <t>Couriers with active driver card%</t>
  </si>
  <si>
    <t>Total triggers</t>
  </si>
  <si>
    <t>Passed Rate</t>
  </si>
  <si>
    <t>Failed Rate</t>
  </si>
  <si>
    <t>Skipped Rate</t>
  </si>
  <si>
    <t>Najran</t>
  </si>
  <si>
    <t>khalidahmad02</t>
  </si>
  <si>
    <t>Madinah</t>
  </si>
  <si>
    <t>mohammadtalha02</t>
  </si>
  <si>
    <t>muhannadatallah</t>
  </si>
  <si>
    <t>Yanbu</t>
  </si>
  <si>
    <t>khubaibsagheer</t>
  </si>
  <si>
    <t>Makkah</t>
  </si>
  <si>
    <t>abdallaahmed02</t>
  </si>
  <si>
    <t>mostafasoliman</t>
  </si>
  <si>
    <t>Jeddah</t>
  </si>
  <si>
    <t>abdulaziz</t>
  </si>
  <si>
    <t>asadjaved</t>
  </si>
  <si>
    <t>faisalalghamdi</t>
  </si>
  <si>
    <t>hamzakhan</t>
  </si>
  <si>
    <t>mohammedabdulfateh</t>
  </si>
  <si>
    <t>saifradwan</t>
  </si>
  <si>
    <t>Jazan</t>
  </si>
  <si>
    <t>Abha</t>
  </si>
  <si>
    <t>goharilyas</t>
  </si>
  <si>
    <t>mohammedshoeb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</si>
</sst>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;\-#,##0.00%;#,##0.00%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EDC49-F4EC-48CB-96D5-D471EFDFC45B}">
  <dimension ref="A1:AD39"/>
  <sheetViews>
    <sheetView tabSelected="1" workbookViewId="0">
      <selection activeCell="C7" sqref="C7"/>
    </sheetView>
  </sheetViews>
  <sheetFormatPr defaultRowHeight="14.5" x14ac:dyDescent="0.35"/>
  <cols>
    <col min="1" max="1" width="10.81640625" style="4" bestFit="1" customWidth="1"/>
    <col min="2" max="2" width="12.81640625" style="4" bestFit="1" customWidth="1"/>
    <col min="3" max="3" width="20.7265625" style="4" bestFit="1" customWidth="1"/>
    <col min="4" max="4" width="20" style="4" bestFit="1" customWidth="1"/>
    <col min="5" max="5" width="22.08984375" style="4" bestFit="1" customWidth="1"/>
    <col min="6" max="6" width="20" style="4" bestFit="1" customWidth="1"/>
    <col min="7" max="7" width="16.453125" style="4" bestFit="1" customWidth="1"/>
    <col min="8" max="8" width="28.36328125" style="4" bestFit="1" customWidth="1"/>
    <col min="9" max="9" width="29.7265625" style="4" bestFit="1" customWidth="1"/>
    <col min="10" max="10" width="29.81640625" style="4" bestFit="1" customWidth="1"/>
    <col min="11" max="11" width="12.08984375" style="4" bestFit="1" customWidth="1"/>
    <col min="12" max="12" width="11.453125" style="4" bestFit="1" customWidth="1"/>
    <col min="13" max="13" width="10.453125" style="4" bestFit="1" customWidth="1"/>
    <col min="14" max="14" width="12.26953125" style="4" bestFit="1" customWidth="1"/>
    <col min="15" max="16" width="8.7265625" style="4"/>
    <col min="17" max="17" width="10.81640625" style="4" bestFit="1" customWidth="1"/>
    <col min="18" max="18" width="12.81640625" style="4" bestFit="1" customWidth="1"/>
    <col min="19" max="19" width="20.7265625" style="4" bestFit="1" customWidth="1"/>
    <col min="20" max="20" width="20" style="4" bestFit="1" customWidth="1"/>
    <col min="21" max="21" width="22.08984375" style="4" bestFit="1" customWidth="1"/>
    <col min="22" max="22" width="20" style="4" bestFit="1" customWidth="1"/>
    <col min="23" max="23" width="16.453125" style="4" bestFit="1" customWidth="1"/>
    <col min="24" max="24" width="28.36328125" style="4" bestFit="1" customWidth="1"/>
    <col min="25" max="25" width="29.7265625" style="4" bestFit="1" customWidth="1"/>
    <col min="26" max="26" width="29.81640625" style="4" bestFit="1" customWidth="1"/>
    <col min="27" max="27" width="12.08984375" style="4" bestFit="1" customWidth="1"/>
    <col min="28" max="28" width="11.453125" style="4" bestFit="1" customWidth="1"/>
    <col min="29" max="29" width="10.453125" style="4" bestFit="1" customWidth="1"/>
    <col min="30" max="30" width="12.26953125" style="4" bestFit="1" customWidth="1"/>
    <col min="31" max="16384" width="8.7265625" style="4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12</v>
      </c>
      <c r="AD1" s="1" t="s">
        <v>13</v>
      </c>
    </row>
    <row r="2" spans="1:30" x14ac:dyDescent="0.35">
      <c r="A2" s="2">
        <v>1150000088</v>
      </c>
      <c r="B2" s="3" t="s">
        <v>14</v>
      </c>
      <c r="C2" s="4" t="s">
        <v>15</v>
      </c>
      <c r="D2" s="5">
        <v>0</v>
      </c>
      <c r="E2" s="6">
        <v>0</v>
      </c>
      <c r="F2" s="5">
        <v>0</v>
      </c>
      <c r="G2" s="5">
        <v>0</v>
      </c>
      <c r="H2" s="5">
        <v>1</v>
      </c>
      <c r="I2" s="5">
        <v>0</v>
      </c>
      <c r="J2" s="6">
        <v>9.9009900990099011E-3</v>
      </c>
      <c r="K2" s="5">
        <v>301</v>
      </c>
      <c r="L2" s="6">
        <v>0.77408637873754149</v>
      </c>
      <c r="M2" s="6">
        <v>0</v>
      </c>
      <c r="N2" s="6">
        <v>0.22591362126245848</v>
      </c>
      <c r="Q2" s="2">
        <v>1150000088</v>
      </c>
      <c r="R2" s="3" t="s">
        <v>14</v>
      </c>
      <c r="S2" s="4" t="s">
        <v>15</v>
      </c>
      <c r="T2" s="5">
        <v>0</v>
      </c>
      <c r="U2" s="6">
        <v>0</v>
      </c>
      <c r="V2" s="5">
        <v>0</v>
      </c>
      <c r="W2" s="5">
        <v>0</v>
      </c>
      <c r="X2" s="5">
        <v>1</v>
      </c>
      <c r="Y2" s="5">
        <v>0</v>
      </c>
      <c r="Z2" s="6">
        <v>9.5238095238095247E-3</v>
      </c>
      <c r="AA2" s="5">
        <v>287</v>
      </c>
      <c r="AB2" s="6">
        <v>0.82229965156794427</v>
      </c>
      <c r="AC2" s="6">
        <v>0</v>
      </c>
      <c r="AD2" s="6">
        <v>0.17770034843205576</v>
      </c>
    </row>
    <row r="3" spans="1:30" x14ac:dyDescent="0.35">
      <c r="A3" s="3">
        <v>1150000093</v>
      </c>
      <c r="B3" s="3" t="s">
        <v>16</v>
      </c>
      <c r="C3" s="4" t="s">
        <v>17</v>
      </c>
      <c r="D3" s="5">
        <v>11</v>
      </c>
      <c r="E3" s="6">
        <v>2.8795811518324606E-2</v>
      </c>
      <c r="F3" s="5">
        <v>0</v>
      </c>
      <c r="G3" s="5">
        <v>7</v>
      </c>
      <c r="H3" s="5">
        <v>99</v>
      </c>
      <c r="I3" s="5">
        <v>0</v>
      </c>
      <c r="J3" s="6">
        <v>0.15714285714285714</v>
      </c>
      <c r="K3" s="5">
        <v>1406</v>
      </c>
      <c r="L3" s="6">
        <v>0.78947368421052633</v>
      </c>
      <c r="M3" s="6">
        <v>4.9786628733997154E-3</v>
      </c>
      <c r="N3" s="6">
        <v>0.20554765291607396</v>
      </c>
      <c r="Q3" s="3">
        <v>1150000093</v>
      </c>
      <c r="R3" s="3" t="s">
        <v>16</v>
      </c>
      <c r="S3" s="4" t="s">
        <v>17</v>
      </c>
      <c r="T3" s="5">
        <v>4</v>
      </c>
      <c r="U3" s="6">
        <v>1.0554089709762533E-2</v>
      </c>
      <c r="V3" s="5">
        <v>0</v>
      </c>
      <c r="W3" s="5">
        <v>7</v>
      </c>
      <c r="X3" s="5">
        <v>105</v>
      </c>
      <c r="Y3" s="5">
        <v>0</v>
      </c>
      <c r="Z3" s="6">
        <v>0.16613924050632911</v>
      </c>
      <c r="AA3" s="5">
        <v>1567</v>
      </c>
      <c r="AB3" s="6">
        <v>0.77153797064454377</v>
      </c>
      <c r="AC3" s="6">
        <v>1.9144862795149968E-3</v>
      </c>
      <c r="AD3" s="6">
        <v>0.2265475430759413</v>
      </c>
    </row>
    <row r="4" spans="1:30" x14ac:dyDescent="0.35">
      <c r="A4" s="2">
        <v>1150000093</v>
      </c>
      <c r="B4" s="3" t="s">
        <v>16</v>
      </c>
      <c r="C4" s="4" t="s">
        <v>18</v>
      </c>
      <c r="D4" s="5">
        <v>26</v>
      </c>
      <c r="E4" s="6">
        <v>5.2953156822810592E-2</v>
      </c>
      <c r="F4" s="5">
        <v>0</v>
      </c>
      <c r="G4" s="5">
        <v>6</v>
      </c>
      <c r="H4" s="5">
        <v>25</v>
      </c>
      <c r="I4" s="5">
        <v>0</v>
      </c>
      <c r="J4" s="6">
        <v>2.7412280701754384E-2</v>
      </c>
      <c r="K4" s="5">
        <v>1866</v>
      </c>
      <c r="L4" s="6">
        <v>0.8311897106109325</v>
      </c>
      <c r="M4" s="6">
        <v>3.7513397642015005E-3</v>
      </c>
      <c r="N4" s="6">
        <v>0.16505894962486603</v>
      </c>
      <c r="Q4" s="2">
        <v>1150000093</v>
      </c>
      <c r="R4" s="3" t="s">
        <v>16</v>
      </c>
      <c r="S4" s="4" t="s">
        <v>18</v>
      </c>
      <c r="T4" s="5">
        <v>16</v>
      </c>
      <c r="U4" s="6">
        <v>3.3057851239669422E-2</v>
      </c>
      <c r="V4" s="5">
        <v>0</v>
      </c>
      <c r="W4" s="5">
        <v>6</v>
      </c>
      <c r="X4" s="5">
        <v>24</v>
      </c>
      <c r="Y4" s="5">
        <v>0</v>
      </c>
      <c r="Z4" s="6">
        <v>2.6607538802660754E-2</v>
      </c>
      <c r="AA4" s="5">
        <v>2064</v>
      </c>
      <c r="AB4" s="6">
        <v>0.82994186046511631</v>
      </c>
      <c r="AC4" s="6">
        <v>5.8139534883720929E-3</v>
      </c>
      <c r="AD4" s="6">
        <v>0.16424418604651161</v>
      </c>
    </row>
    <row r="5" spans="1:30" x14ac:dyDescent="0.35">
      <c r="A5" s="2">
        <v>1150000095</v>
      </c>
      <c r="B5" s="3" t="s">
        <v>19</v>
      </c>
      <c r="C5" s="4" t="s">
        <v>20</v>
      </c>
      <c r="D5" s="5">
        <v>0</v>
      </c>
      <c r="E5" s="6">
        <v>0</v>
      </c>
      <c r="F5" s="5">
        <v>0</v>
      </c>
      <c r="G5" s="5">
        <v>1</v>
      </c>
      <c r="H5" s="5">
        <v>45</v>
      </c>
      <c r="I5" s="5">
        <v>0</v>
      </c>
      <c r="J5" s="6">
        <v>0.19736842105263158</v>
      </c>
      <c r="K5" s="5">
        <v>442</v>
      </c>
      <c r="L5" s="6">
        <v>0.92533936651583715</v>
      </c>
      <c r="M5" s="6">
        <v>0</v>
      </c>
      <c r="N5" s="6">
        <v>7.4660633484162894E-2</v>
      </c>
      <c r="Q5" s="2">
        <v>1150000095</v>
      </c>
      <c r="R5" s="3" t="s">
        <v>19</v>
      </c>
      <c r="S5" s="4" t="s">
        <v>20</v>
      </c>
      <c r="T5" s="5">
        <v>0</v>
      </c>
      <c r="U5" s="6">
        <v>0</v>
      </c>
      <c r="V5" s="5">
        <v>0</v>
      </c>
      <c r="W5" s="5">
        <v>2</v>
      </c>
      <c r="X5" s="5">
        <v>45</v>
      </c>
      <c r="Y5" s="5">
        <v>0</v>
      </c>
      <c r="Z5" s="6">
        <v>0.19823788546255505</v>
      </c>
      <c r="AA5" s="5">
        <v>497</v>
      </c>
      <c r="AB5" s="6">
        <v>0.88329979879275655</v>
      </c>
      <c r="AC5" s="6">
        <v>0</v>
      </c>
      <c r="AD5" s="6">
        <v>0.11670020120724346</v>
      </c>
    </row>
    <row r="6" spans="1:30" x14ac:dyDescent="0.35">
      <c r="A6" s="3">
        <v>1150000104</v>
      </c>
      <c r="B6" s="3" t="s">
        <v>21</v>
      </c>
      <c r="C6" s="4" t="s">
        <v>22</v>
      </c>
      <c r="D6" s="5">
        <v>0</v>
      </c>
      <c r="E6" s="6">
        <v>0</v>
      </c>
      <c r="F6" s="5">
        <v>0</v>
      </c>
      <c r="G6" s="5">
        <v>0</v>
      </c>
      <c r="H6" s="5">
        <v>163</v>
      </c>
      <c r="I6" s="5">
        <v>0</v>
      </c>
      <c r="J6" s="6">
        <v>0.25115562403698</v>
      </c>
      <c r="K6" s="5">
        <v>1494</v>
      </c>
      <c r="L6" s="6">
        <v>0.89424364123159306</v>
      </c>
      <c r="M6" s="6">
        <v>6.6934404283801872E-4</v>
      </c>
      <c r="N6" s="6">
        <v>0.10508701472556894</v>
      </c>
      <c r="Q6" s="3">
        <v>1150000104</v>
      </c>
      <c r="R6" s="3" t="s">
        <v>21</v>
      </c>
      <c r="S6" s="4" t="s">
        <v>22</v>
      </c>
      <c r="T6" s="5">
        <v>1</v>
      </c>
      <c r="U6" s="6">
        <v>2.5125628140703518E-3</v>
      </c>
      <c r="V6" s="5">
        <v>0</v>
      </c>
      <c r="W6" s="5">
        <v>2</v>
      </c>
      <c r="X6" s="5">
        <v>164</v>
      </c>
      <c r="Y6" s="5">
        <v>0</v>
      </c>
      <c r="Z6" s="6">
        <v>0.25426356589147286</v>
      </c>
      <c r="AA6" s="5">
        <v>1485</v>
      </c>
      <c r="AB6" s="6">
        <v>0.90168350168350164</v>
      </c>
      <c r="AC6" s="6">
        <v>6.7340067340067344E-4</v>
      </c>
      <c r="AD6" s="6">
        <v>9.7643097643097643E-2</v>
      </c>
    </row>
    <row r="7" spans="1:30" x14ac:dyDescent="0.35">
      <c r="A7" s="2">
        <v>1150000104</v>
      </c>
      <c r="B7" s="3" t="s">
        <v>21</v>
      </c>
      <c r="C7" s="4" t="s">
        <v>23</v>
      </c>
      <c r="D7" s="5">
        <v>0</v>
      </c>
      <c r="E7" s="6">
        <v>0</v>
      </c>
      <c r="F7" s="5">
        <v>0</v>
      </c>
      <c r="G7" s="5">
        <v>2</v>
      </c>
      <c r="H7" s="5">
        <v>125</v>
      </c>
      <c r="I7" s="5">
        <v>0</v>
      </c>
      <c r="J7" s="6">
        <v>0.18382352941176472</v>
      </c>
      <c r="K7" s="5">
        <v>1761</v>
      </c>
      <c r="L7" s="6">
        <v>0.78818852924474725</v>
      </c>
      <c r="M7" s="6">
        <v>6.2464508801817146E-3</v>
      </c>
      <c r="N7" s="6">
        <v>0.20556501987507098</v>
      </c>
      <c r="Q7" s="2">
        <v>1150000104</v>
      </c>
      <c r="R7" s="3" t="s">
        <v>21</v>
      </c>
      <c r="S7" s="4" t="s">
        <v>23</v>
      </c>
      <c r="T7" s="5">
        <v>0</v>
      </c>
      <c r="U7" s="6">
        <v>0</v>
      </c>
      <c r="V7" s="5">
        <v>0</v>
      </c>
      <c r="W7" s="5">
        <v>2</v>
      </c>
      <c r="X7" s="5">
        <v>130</v>
      </c>
      <c r="Y7" s="5">
        <v>0</v>
      </c>
      <c r="Z7" s="6">
        <v>0.19374068554396423</v>
      </c>
      <c r="AA7" s="5">
        <v>1667</v>
      </c>
      <c r="AB7" s="6">
        <v>0.81823635272945416</v>
      </c>
      <c r="AC7" s="6">
        <v>4.1991601679664068E-3</v>
      </c>
      <c r="AD7" s="6">
        <v>0.17756448710257949</v>
      </c>
    </row>
    <row r="8" spans="1:30" x14ac:dyDescent="0.35">
      <c r="A8" s="3">
        <v>1150000106</v>
      </c>
      <c r="B8" s="3" t="s">
        <v>24</v>
      </c>
      <c r="C8" s="4" t="s">
        <v>25</v>
      </c>
      <c r="D8" s="5">
        <v>8</v>
      </c>
      <c r="E8" s="6">
        <v>2.1739130434782608E-2</v>
      </c>
      <c r="F8" s="5">
        <v>0</v>
      </c>
      <c r="G8" s="5">
        <v>26</v>
      </c>
      <c r="H8" s="5">
        <v>48</v>
      </c>
      <c r="I8" s="5">
        <v>1</v>
      </c>
      <c r="J8" s="6">
        <v>6.886657101865136E-2</v>
      </c>
      <c r="K8" s="5">
        <v>1676</v>
      </c>
      <c r="L8" s="6">
        <v>0.73508353221957046</v>
      </c>
      <c r="M8" s="6">
        <v>1.6109785202863963E-2</v>
      </c>
      <c r="N8" s="6">
        <v>0.24880668257756564</v>
      </c>
      <c r="Q8" s="3">
        <v>1150000106</v>
      </c>
      <c r="R8" s="3" t="s">
        <v>24</v>
      </c>
      <c r="S8" s="4" t="s">
        <v>25</v>
      </c>
      <c r="T8" s="5">
        <v>5</v>
      </c>
      <c r="U8" s="6">
        <v>1.3550135501355014E-2</v>
      </c>
      <c r="V8" s="5">
        <v>0</v>
      </c>
      <c r="W8" s="5">
        <v>30</v>
      </c>
      <c r="X8" s="5">
        <v>46</v>
      </c>
      <c r="Y8" s="5">
        <v>1</v>
      </c>
      <c r="Z8" s="6">
        <v>6.6378066378066383E-2</v>
      </c>
      <c r="AA8" s="5">
        <v>773</v>
      </c>
      <c r="AB8" s="6">
        <v>0.78395860284605434</v>
      </c>
      <c r="AC8" s="6">
        <v>1.4230271668822769E-2</v>
      </c>
      <c r="AD8" s="6">
        <v>0.20181112548512289</v>
      </c>
    </row>
    <row r="9" spans="1:30" x14ac:dyDescent="0.35">
      <c r="A9" s="3">
        <v>1150000106</v>
      </c>
      <c r="B9" s="3" t="s">
        <v>24</v>
      </c>
      <c r="C9" s="4" t="s">
        <v>26</v>
      </c>
      <c r="D9" s="5">
        <v>17</v>
      </c>
      <c r="E9" s="6">
        <v>2.3480662983425413E-2</v>
      </c>
      <c r="F9" s="5">
        <v>0</v>
      </c>
      <c r="G9" s="5">
        <v>2</v>
      </c>
      <c r="H9" s="5">
        <v>352</v>
      </c>
      <c r="I9" s="5">
        <v>0</v>
      </c>
      <c r="J9" s="6">
        <v>0.31233362910381546</v>
      </c>
      <c r="K9" s="5">
        <v>2916</v>
      </c>
      <c r="L9" s="6">
        <v>0.69478737997256512</v>
      </c>
      <c r="M9" s="6">
        <v>1.0288065843621399E-2</v>
      </c>
      <c r="N9" s="6">
        <v>0.29492455418381347</v>
      </c>
      <c r="Q9" s="3">
        <v>1150000106</v>
      </c>
      <c r="R9" s="3" t="s">
        <v>24</v>
      </c>
      <c r="S9" s="4" t="s">
        <v>26</v>
      </c>
      <c r="T9" s="5">
        <v>15</v>
      </c>
      <c r="U9" s="6">
        <v>2.0661157024793389E-2</v>
      </c>
      <c r="V9" s="5">
        <v>0</v>
      </c>
      <c r="W9" s="5">
        <v>3</v>
      </c>
      <c r="X9" s="5">
        <v>358</v>
      </c>
      <c r="Y9" s="5">
        <v>0</v>
      </c>
      <c r="Z9" s="6">
        <v>0.32107623318385653</v>
      </c>
      <c r="AA9" s="5">
        <v>1170</v>
      </c>
      <c r="AB9" s="6">
        <v>0.75470085470085468</v>
      </c>
      <c r="AC9" s="6">
        <v>8.5470085470085479E-3</v>
      </c>
      <c r="AD9" s="6">
        <v>0.23675213675213674</v>
      </c>
    </row>
    <row r="10" spans="1:30" x14ac:dyDescent="0.35">
      <c r="A10" s="3">
        <v>1150000106</v>
      </c>
      <c r="B10" s="3" t="s">
        <v>24</v>
      </c>
      <c r="C10" s="4" t="s">
        <v>27</v>
      </c>
      <c r="D10" s="5">
        <v>34</v>
      </c>
      <c r="E10" s="6">
        <v>6.0070671378091869E-2</v>
      </c>
      <c r="F10" s="5">
        <v>0</v>
      </c>
      <c r="G10" s="5">
        <v>17</v>
      </c>
      <c r="H10" s="5">
        <v>177</v>
      </c>
      <c r="I10" s="5">
        <v>1</v>
      </c>
      <c r="J10" s="6">
        <v>0.15974729241877256</v>
      </c>
      <c r="K10" s="5">
        <v>2789</v>
      </c>
      <c r="L10" s="6">
        <v>0.71853711007529586</v>
      </c>
      <c r="M10" s="6">
        <v>1.1832197920401577E-2</v>
      </c>
      <c r="N10" s="6">
        <v>0.26963069200430262</v>
      </c>
      <c r="Q10" s="3">
        <v>1150000106</v>
      </c>
      <c r="R10" s="3" t="s">
        <v>24</v>
      </c>
      <c r="S10" s="4" t="s">
        <v>27</v>
      </c>
      <c r="T10" s="5">
        <v>25</v>
      </c>
      <c r="U10" s="6">
        <v>4.3859649122807015E-2</v>
      </c>
      <c r="V10" s="5">
        <v>0</v>
      </c>
      <c r="W10" s="5">
        <v>17</v>
      </c>
      <c r="X10" s="5">
        <v>181</v>
      </c>
      <c r="Y10" s="5">
        <v>1</v>
      </c>
      <c r="Z10" s="6">
        <v>0.16666666666666666</v>
      </c>
      <c r="AA10" s="5">
        <v>1277</v>
      </c>
      <c r="AB10" s="6">
        <v>0.78856695379796393</v>
      </c>
      <c r="AC10" s="6">
        <v>7.0477682067345343E-3</v>
      </c>
      <c r="AD10" s="6">
        <v>0.20438527799530148</v>
      </c>
    </row>
    <row r="11" spans="1:30" x14ac:dyDescent="0.35">
      <c r="A11" s="3">
        <v>1150000106</v>
      </c>
      <c r="B11" s="3" t="s">
        <v>24</v>
      </c>
      <c r="C11" s="4" t="s">
        <v>28</v>
      </c>
      <c r="D11" s="5">
        <v>9</v>
      </c>
      <c r="E11" s="6">
        <v>1.9522776572668113E-2</v>
      </c>
      <c r="F11" s="5">
        <v>0</v>
      </c>
      <c r="G11" s="5">
        <v>5</v>
      </c>
      <c r="H11" s="5">
        <v>70</v>
      </c>
      <c r="I11" s="5">
        <v>0</v>
      </c>
      <c r="J11" s="6">
        <v>0.10542168674698796</v>
      </c>
      <c r="K11" s="5">
        <v>1467</v>
      </c>
      <c r="L11" s="6">
        <v>0.84662576687116564</v>
      </c>
      <c r="M11" s="6">
        <v>1.0906612133605999E-2</v>
      </c>
      <c r="N11" s="6">
        <v>0.14246762099522836</v>
      </c>
      <c r="Q11" s="3">
        <v>1150000106</v>
      </c>
      <c r="R11" s="3" t="s">
        <v>24</v>
      </c>
      <c r="S11" s="4" t="s">
        <v>28</v>
      </c>
      <c r="T11" s="5">
        <v>8</v>
      </c>
      <c r="U11" s="6">
        <v>1.7278617710583154E-2</v>
      </c>
      <c r="V11" s="5">
        <v>0</v>
      </c>
      <c r="W11" s="5">
        <v>3</v>
      </c>
      <c r="X11" s="5">
        <v>75</v>
      </c>
      <c r="Y11" s="5">
        <v>0</v>
      </c>
      <c r="Z11" s="6">
        <v>0.11398176291793313</v>
      </c>
      <c r="AA11" s="5">
        <v>630</v>
      </c>
      <c r="AB11" s="6">
        <v>0.86190476190476195</v>
      </c>
      <c r="AC11" s="6">
        <v>9.5238095238095247E-3</v>
      </c>
      <c r="AD11" s="6">
        <v>0.12857142857142856</v>
      </c>
    </row>
    <row r="12" spans="1:30" x14ac:dyDescent="0.35">
      <c r="A12" s="3">
        <v>1150000106</v>
      </c>
      <c r="B12" s="3" t="s">
        <v>24</v>
      </c>
      <c r="C12" s="4" t="s">
        <v>29</v>
      </c>
      <c r="D12" s="5">
        <v>11</v>
      </c>
      <c r="E12" s="6">
        <v>1.7133956386292833E-2</v>
      </c>
      <c r="F12" s="5">
        <v>1</v>
      </c>
      <c r="G12" s="5">
        <v>26</v>
      </c>
      <c r="H12" s="5">
        <v>83</v>
      </c>
      <c r="I12" s="5">
        <v>0</v>
      </c>
      <c r="J12" s="6">
        <v>0.141156462585034</v>
      </c>
      <c r="K12" s="5">
        <v>1273</v>
      </c>
      <c r="L12" s="6">
        <v>0.81146897093479964</v>
      </c>
      <c r="M12" s="6">
        <v>1.0212097407698351E-2</v>
      </c>
      <c r="N12" s="6">
        <v>0.17831893165750196</v>
      </c>
      <c r="Q12" s="3">
        <v>1150000106</v>
      </c>
      <c r="R12" s="3" t="s">
        <v>24</v>
      </c>
      <c r="S12" s="4" t="s">
        <v>29</v>
      </c>
      <c r="T12" s="5">
        <v>10</v>
      </c>
      <c r="U12" s="6">
        <v>1.5576323987538941E-2</v>
      </c>
      <c r="V12" s="5">
        <v>1</v>
      </c>
      <c r="W12" s="5">
        <v>25</v>
      </c>
      <c r="X12" s="5">
        <v>80</v>
      </c>
      <c r="Y12" s="5">
        <v>0</v>
      </c>
      <c r="Z12" s="6">
        <v>0.13651877133105803</v>
      </c>
      <c r="AA12" s="5">
        <v>572</v>
      </c>
      <c r="AB12" s="6">
        <v>0.83916083916083917</v>
      </c>
      <c r="AC12" s="6">
        <v>1.7482517482517484E-2</v>
      </c>
      <c r="AD12" s="6">
        <v>0.14335664335664336</v>
      </c>
    </row>
    <row r="13" spans="1:30" x14ac:dyDescent="0.35">
      <c r="A13" s="2">
        <v>1150000106</v>
      </c>
      <c r="B13" s="3" t="s">
        <v>24</v>
      </c>
      <c r="C13" s="4" t="s">
        <v>30</v>
      </c>
      <c r="D13" s="5">
        <v>11</v>
      </c>
      <c r="E13" s="6">
        <v>2.4229074889867842E-2</v>
      </c>
      <c r="F13" s="5">
        <v>0</v>
      </c>
      <c r="G13" s="5">
        <v>34</v>
      </c>
      <c r="H13" s="5">
        <v>134</v>
      </c>
      <c r="I13" s="5">
        <v>0</v>
      </c>
      <c r="J13" s="6">
        <v>0.20180722891566266</v>
      </c>
      <c r="K13" s="5">
        <v>1539</v>
      </c>
      <c r="L13" s="6">
        <v>0.73489278752436649</v>
      </c>
      <c r="M13" s="6">
        <v>9.7465886939571145E-3</v>
      </c>
      <c r="N13" s="6">
        <v>0.2553606237816764</v>
      </c>
      <c r="Q13" s="2">
        <v>1150000106</v>
      </c>
      <c r="R13" s="3" t="s">
        <v>24</v>
      </c>
      <c r="S13" s="4" t="s">
        <v>30</v>
      </c>
      <c r="T13" s="5">
        <v>8</v>
      </c>
      <c r="U13" s="6">
        <v>1.7699115044247787E-2</v>
      </c>
      <c r="V13" s="5">
        <v>0</v>
      </c>
      <c r="W13" s="5">
        <v>31</v>
      </c>
      <c r="X13" s="5">
        <v>136</v>
      </c>
      <c r="Y13" s="5">
        <v>0</v>
      </c>
      <c r="Z13" s="6">
        <v>0.20858895705521471</v>
      </c>
      <c r="AA13" s="5">
        <v>835</v>
      </c>
      <c r="AB13" s="6">
        <v>0.75089820359281434</v>
      </c>
      <c r="AC13" s="6">
        <v>1.6766467065868262E-2</v>
      </c>
      <c r="AD13" s="6">
        <v>0.23233532934131737</v>
      </c>
    </row>
    <row r="14" spans="1:30" x14ac:dyDescent="0.35">
      <c r="A14" s="2">
        <v>1150000140</v>
      </c>
      <c r="B14" s="3" t="s">
        <v>31</v>
      </c>
      <c r="C14" s="4" t="s">
        <v>15</v>
      </c>
      <c r="D14" s="5">
        <v>0</v>
      </c>
      <c r="E14" s="6">
        <v>0</v>
      </c>
      <c r="F14" s="5">
        <v>0</v>
      </c>
      <c r="G14" s="5">
        <v>0</v>
      </c>
      <c r="H14" s="5">
        <v>11</v>
      </c>
      <c r="I14" s="5">
        <v>0</v>
      </c>
      <c r="J14" s="6">
        <v>9.0909090909090912E-2</v>
      </c>
      <c r="K14" s="5">
        <v>279</v>
      </c>
      <c r="L14" s="6">
        <v>0.90681003584229392</v>
      </c>
      <c r="M14" s="6">
        <v>3.9426523297491037E-2</v>
      </c>
      <c r="N14" s="6">
        <v>5.3763440860215055E-2</v>
      </c>
      <c r="Q14" s="2">
        <v>1150000140</v>
      </c>
      <c r="R14" s="3" t="s">
        <v>31</v>
      </c>
      <c r="S14" s="4" t="s">
        <v>15</v>
      </c>
      <c r="T14" s="5">
        <v>0</v>
      </c>
      <c r="U14" s="6">
        <v>0</v>
      </c>
      <c r="V14" s="5">
        <v>0</v>
      </c>
      <c r="W14" s="5">
        <v>0</v>
      </c>
      <c r="X14" s="5">
        <v>13</v>
      </c>
      <c r="Y14" s="5">
        <v>0</v>
      </c>
      <c r="Z14" s="6">
        <v>0.10655737704918032</v>
      </c>
      <c r="AA14" s="5">
        <v>284</v>
      </c>
      <c r="AB14" s="6">
        <v>0.88028169014084512</v>
      </c>
      <c r="AC14" s="6">
        <v>3.5211267605633804E-2</v>
      </c>
      <c r="AD14" s="6">
        <v>8.4507042253521125E-2</v>
      </c>
    </row>
    <row r="15" spans="1:30" x14ac:dyDescent="0.35">
      <c r="A15" s="3">
        <v>1150000149</v>
      </c>
      <c r="B15" s="3" t="s">
        <v>32</v>
      </c>
      <c r="C15" s="4" t="s">
        <v>33</v>
      </c>
      <c r="D15" s="5">
        <v>0</v>
      </c>
      <c r="E15" s="6">
        <v>0</v>
      </c>
      <c r="F15" s="5">
        <v>0</v>
      </c>
      <c r="G15" s="5">
        <v>0</v>
      </c>
      <c r="H15" s="5">
        <v>8</v>
      </c>
      <c r="I15" s="5">
        <v>0</v>
      </c>
      <c r="J15" s="6">
        <v>3.007518796992481E-2</v>
      </c>
      <c r="K15" s="5">
        <v>698</v>
      </c>
      <c r="L15" s="6">
        <v>0.86819484240687683</v>
      </c>
      <c r="M15" s="6">
        <v>0</v>
      </c>
      <c r="N15" s="6">
        <v>0.1318051575931232</v>
      </c>
      <c r="Q15" s="3">
        <v>1150000149</v>
      </c>
      <c r="R15" s="3" t="s">
        <v>32</v>
      </c>
      <c r="S15" s="4" t="s">
        <v>33</v>
      </c>
      <c r="T15" s="5">
        <v>0</v>
      </c>
      <c r="U15" s="6">
        <v>0</v>
      </c>
      <c r="V15" s="5">
        <v>0</v>
      </c>
      <c r="W15" s="5">
        <v>0</v>
      </c>
      <c r="X15" s="5">
        <v>8</v>
      </c>
      <c r="Y15" s="5">
        <v>0</v>
      </c>
      <c r="Z15" s="6">
        <v>3.1746031746031744E-2</v>
      </c>
      <c r="AA15" s="5">
        <v>638</v>
      </c>
      <c r="AB15" s="6">
        <v>0.92163009404388718</v>
      </c>
      <c r="AC15" s="6">
        <v>0</v>
      </c>
      <c r="AD15" s="6">
        <v>7.8369905956112859E-2</v>
      </c>
    </row>
    <row r="16" spans="1:30" x14ac:dyDescent="0.35">
      <c r="A16" s="2">
        <v>1150000149</v>
      </c>
      <c r="B16" s="3" t="s">
        <v>32</v>
      </c>
      <c r="C16" s="4" t="s">
        <v>34</v>
      </c>
      <c r="D16" s="5">
        <v>0</v>
      </c>
      <c r="E16" s="6">
        <v>0</v>
      </c>
      <c r="F16" s="5">
        <v>0</v>
      </c>
      <c r="G16" s="5">
        <v>0</v>
      </c>
      <c r="H16" s="5">
        <v>30</v>
      </c>
      <c r="I16" s="5">
        <v>0</v>
      </c>
      <c r="J16" s="6">
        <v>0.18867924528301888</v>
      </c>
      <c r="K16" s="5">
        <v>467</v>
      </c>
      <c r="L16" s="6">
        <v>0.80513918629550318</v>
      </c>
      <c r="M16" s="6">
        <v>0</v>
      </c>
      <c r="N16" s="6">
        <v>0.19486081370449679</v>
      </c>
      <c r="Q16" s="2">
        <v>1150000149</v>
      </c>
      <c r="R16" s="3" t="s">
        <v>32</v>
      </c>
      <c r="S16" s="4" t="s">
        <v>34</v>
      </c>
      <c r="T16" s="5">
        <v>0</v>
      </c>
      <c r="U16" s="6">
        <v>0</v>
      </c>
      <c r="V16" s="5">
        <v>0</v>
      </c>
      <c r="W16" s="5">
        <v>0</v>
      </c>
      <c r="X16" s="5">
        <v>34</v>
      </c>
      <c r="Y16" s="5">
        <v>0</v>
      </c>
      <c r="Z16" s="6">
        <v>0.21383647798742139</v>
      </c>
      <c r="AA16" s="5">
        <v>430</v>
      </c>
      <c r="AB16" s="6">
        <v>0.86279069767441863</v>
      </c>
      <c r="AC16" s="6">
        <v>0</v>
      </c>
      <c r="AD16" s="6">
        <v>0.1372093023255814</v>
      </c>
    </row>
    <row r="24" spans="1:14" x14ac:dyDescent="0.3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  <c r="N24" s="1" t="s">
        <v>13</v>
      </c>
    </row>
    <row r="25" spans="1:14" x14ac:dyDescent="0.35">
      <c r="A25" s="2">
        <v>1150000088</v>
      </c>
      <c r="B25" s="3" t="s">
        <v>14</v>
      </c>
      <c r="C25" s="4" t="s">
        <v>15</v>
      </c>
      <c r="D25" s="7">
        <f>IFERROR((T2-D2)/D2,0)</f>
        <v>0</v>
      </c>
      <c r="E25" s="8">
        <f>U2-E2</f>
        <v>0</v>
      </c>
      <c r="F25" s="7">
        <f>IFERROR((V2-F2)/F2,0)</f>
        <v>0</v>
      </c>
      <c r="G25" s="7">
        <f>IFERROR((W2-G2)/G2,0)</f>
        <v>0</v>
      </c>
      <c r="H25" s="7">
        <f>IFERROR((X2-H2)/H2,0)</f>
        <v>0</v>
      </c>
      <c r="I25" s="7">
        <f>IFERROR((Y2-I2)/I2,0)</f>
        <v>0</v>
      </c>
      <c r="J25" s="8">
        <f>Z2-J2</f>
        <v>-3.7718057520037644E-4</v>
      </c>
      <c r="K25" s="7">
        <f>IFERROR((AA2-K2)/K2,0)</f>
        <v>-4.6511627906976744E-2</v>
      </c>
      <c r="L25" s="8">
        <f>AB2-L2</f>
        <v>4.8213272830402776E-2</v>
      </c>
      <c r="M25" s="8">
        <f>AC2-M2</f>
        <v>0</v>
      </c>
      <c r="N25" s="8">
        <f>AD2-N2</f>
        <v>-4.821327283040272E-2</v>
      </c>
    </row>
    <row r="26" spans="1:14" x14ac:dyDescent="0.35">
      <c r="A26" s="3">
        <v>1150000093</v>
      </c>
      <c r="B26" s="3" t="s">
        <v>16</v>
      </c>
      <c r="C26" s="4" t="s">
        <v>17</v>
      </c>
      <c r="D26" s="7">
        <f t="shared" ref="D26:D39" si="0">IFERROR((T3-D3)/D3,0)</f>
        <v>-0.63636363636363635</v>
      </c>
      <c r="E26" s="8">
        <f t="shared" ref="E26:E39" si="1">U3-E3</f>
        <v>-1.8241721808562074E-2</v>
      </c>
      <c r="F26" s="7">
        <f t="shared" ref="F26:I26" si="2">IFERROR((V3-F3)/F3,0)</f>
        <v>0</v>
      </c>
      <c r="G26" s="7">
        <f t="shared" si="2"/>
        <v>0</v>
      </c>
      <c r="H26" s="7">
        <f t="shared" si="2"/>
        <v>6.0606060606060608E-2</v>
      </c>
      <c r="I26" s="7">
        <f t="shared" si="2"/>
        <v>0</v>
      </c>
      <c r="J26" s="8">
        <f t="shared" ref="J26:J39" si="3">Z3-J3</f>
        <v>8.9963833634719714E-3</v>
      </c>
      <c r="K26" s="7">
        <f t="shared" ref="K26:K39" si="4">IFERROR((AA3-K3)/K3,0)</f>
        <v>0.11450924608819346</v>
      </c>
      <c r="L26" s="8">
        <f t="shared" ref="L26:N26" si="5">AB3-L3</f>
        <v>-1.7935713565982558E-2</v>
      </c>
      <c r="M26" s="8">
        <f t="shared" si="5"/>
        <v>-3.0641765938847184E-3</v>
      </c>
      <c r="N26" s="8">
        <f t="shared" si="5"/>
        <v>2.0999890159867335E-2</v>
      </c>
    </row>
    <row r="27" spans="1:14" x14ac:dyDescent="0.35">
      <c r="A27" s="2">
        <v>1150000093</v>
      </c>
      <c r="B27" s="3" t="s">
        <v>16</v>
      </c>
      <c r="C27" s="4" t="s">
        <v>18</v>
      </c>
      <c r="D27" s="7">
        <f t="shared" si="0"/>
        <v>-0.38461538461538464</v>
      </c>
      <c r="E27" s="8">
        <f t="shared" si="1"/>
        <v>-1.9895305583141169E-2</v>
      </c>
      <c r="F27" s="7">
        <f t="shared" ref="F27:I27" si="6">IFERROR((V4-F4)/F4,0)</f>
        <v>0</v>
      </c>
      <c r="G27" s="7">
        <f t="shared" si="6"/>
        <v>0</v>
      </c>
      <c r="H27" s="7">
        <f t="shared" si="6"/>
        <v>-0.04</v>
      </c>
      <c r="I27" s="7">
        <f t="shared" si="6"/>
        <v>0</v>
      </c>
      <c r="J27" s="8">
        <f t="shared" si="3"/>
        <v>-8.0474189909363059E-4</v>
      </c>
      <c r="K27" s="7">
        <f t="shared" si="4"/>
        <v>0.10610932475884244</v>
      </c>
      <c r="L27" s="8">
        <f t="shared" ref="L27:N27" si="7">AB4-L4</f>
        <v>-1.2478501458161873E-3</v>
      </c>
      <c r="M27" s="8">
        <f t="shared" si="7"/>
        <v>2.0626137241705924E-3</v>
      </c>
      <c r="N27" s="8">
        <f t="shared" si="7"/>
        <v>-8.1476357835441604E-4</v>
      </c>
    </row>
    <row r="28" spans="1:14" x14ac:dyDescent="0.35">
      <c r="A28" s="2">
        <v>1150000095</v>
      </c>
      <c r="B28" s="3" t="s">
        <v>19</v>
      </c>
      <c r="C28" s="4" t="s">
        <v>20</v>
      </c>
      <c r="D28" s="7">
        <f t="shared" si="0"/>
        <v>0</v>
      </c>
      <c r="E28" s="8">
        <f t="shared" si="1"/>
        <v>0</v>
      </c>
      <c r="F28" s="7">
        <f t="shared" ref="F28:I28" si="8">IFERROR((V5-F5)/F5,0)</f>
        <v>0</v>
      </c>
      <c r="G28" s="7">
        <f t="shared" si="8"/>
        <v>1</v>
      </c>
      <c r="H28" s="7">
        <f t="shared" si="8"/>
        <v>0</v>
      </c>
      <c r="I28" s="7">
        <f t="shared" si="8"/>
        <v>0</v>
      </c>
      <c r="J28" s="8">
        <f t="shared" si="3"/>
        <v>8.6946440992347052E-4</v>
      </c>
      <c r="K28" s="7">
        <f t="shared" si="4"/>
        <v>0.1244343891402715</v>
      </c>
      <c r="L28" s="8">
        <f t="shared" ref="L28:N28" si="9">AB5-L5</f>
        <v>-4.2039567723080595E-2</v>
      </c>
      <c r="M28" s="8">
        <f t="shared" si="9"/>
        <v>0</v>
      </c>
      <c r="N28" s="8">
        <f t="shared" si="9"/>
        <v>4.2039567723080568E-2</v>
      </c>
    </row>
    <row r="29" spans="1:14" x14ac:dyDescent="0.35">
      <c r="A29" s="3">
        <v>1150000104</v>
      </c>
      <c r="B29" s="3" t="s">
        <v>21</v>
      </c>
      <c r="C29" s="4" t="s">
        <v>22</v>
      </c>
      <c r="D29" s="7">
        <f t="shared" si="0"/>
        <v>0</v>
      </c>
      <c r="E29" s="8">
        <f t="shared" si="1"/>
        <v>2.5125628140703518E-3</v>
      </c>
      <c r="F29" s="7">
        <f t="shared" ref="F29:I29" si="10">IFERROR((V6-F6)/F6,0)</f>
        <v>0</v>
      </c>
      <c r="G29" s="7">
        <f t="shared" si="10"/>
        <v>0</v>
      </c>
      <c r="H29" s="7">
        <f t="shared" si="10"/>
        <v>6.1349693251533744E-3</v>
      </c>
      <c r="I29" s="7">
        <f t="shared" si="10"/>
        <v>0</v>
      </c>
      <c r="J29" s="8">
        <f t="shared" si="3"/>
        <v>3.1079418544928683E-3</v>
      </c>
      <c r="K29" s="7">
        <f t="shared" si="4"/>
        <v>-6.024096385542169E-3</v>
      </c>
      <c r="L29" s="8">
        <f t="shared" ref="L29:N29" si="11">AB6-L6</f>
        <v>7.4398604519085865E-3</v>
      </c>
      <c r="M29" s="8">
        <f t="shared" si="11"/>
        <v>4.05663056265472E-6</v>
      </c>
      <c r="N29" s="8">
        <f t="shared" si="11"/>
        <v>-7.4439170824713019E-3</v>
      </c>
    </row>
    <row r="30" spans="1:14" x14ac:dyDescent="0.35">
      <c r="A30" s="2">
        <v>1150000104</v>
      </c>
      <c r="B30" s="3" t="s">
        <v>21</v>
      </c>
      <c r="C30" s="4" t="s">
        <v>23</v>
      </c>
      <c r="D30" s="7">
        <f t="shared" si="0"/>
        <v>0</v>
      </c>
      <c r="E30" s="8">
        <f t="shared" si="1"/>
        <v>0</v>
      </c>
      <c r="F30" s="7">
        <f t="shared" ref="F30:I30" si="12">IFERROR((V7-F7)/F7,0)</f>
        <v>0</v>
      </c>
      <c r="G30" s="7">
        <f t="shared" si="12"/>
        <v>0</v>
      </c>
      <c r="H30" s="7">
        <f t="shared" si="12"/>
        <v>0.04</v>
      </c>
      <c r="I30" s="7">
        <f t="shared" si="12"/>
        <v>0</v>
      </c>
      <c r="J30" s="8">
        <f t="shared" si="3"/>
        <v>9.9171561321995116E-3</v>
      </c>
      <c r="K30" s="7">
        <f t="shared" si="4"/>
        <v>-5.3378762067007382E-2</v>
      </c>
      <c r="L30" s="8">
        <f t="shared" ref="L30:N30" si="13">AB7-L7</f>
        <v>3.0047823484706915E-2</v>
      </c>
      <c r="M30" s="8">
        <f t="shared" si="13"/>
        <v>-2.0472907122153078E-3</v>
      </c>
      <c r="N30" s="8">
        <f t="shared" si="13"/>
        <v>-2.8000532772491482E-2</v>
      </c>
    </row>
    <row r="31" spans="1:14" x14ac:dyDescent="0.35">
      <c r="A31" s="3">
        <v>1150000106</v>
      </c>
      <c r="B31" s="3" t="s">
        <v>24</v>
      </c>
      <c r="C31" s="4" t="s">
        <v>25</v>
      </c>
      <c r="D31" s="7">
        <f t="shared" si="0"/>
        <v>-0.375</v>
      </c>
      <c r="E31" s="8">
        <f t="shared" si="1"/>
        <v>-8.1889949334275937E-3</v>
      </c>
      <c r="F31" s="7">
        <f t="shared" ref="F31:I31" si="14">IFERROR((V8-F8)/F8,0)</f>
        <v>0</v>
      </c>
      <c r="G31" s="7">
        <f t="shared" si="14"/>
        <v>0.15384615384615385</v>
      </c>
      <c r="H31" s="7">
        <f t="shared" si="14"/>
        <v>-4.1666666666666664E-2</v>
      </c>
      <c r="I31" s="7">
        <f t="shared" si="14"/>
        <v>0</v>
      </c>
      <c r="J31" s="8">
        <f t="shared" si="3"/>
        <v>-2.4885046405849764E-3</v>
      </c>
      <c r="K31" s="7">
        <f t="shared" si="4"/>
        <v>-0.53878281622911695</v>
      </c>
      <c r="L31" s="8">
        <f t="shared" ref="L31:N31" si="15">AB8-L8</f>
        <v>4.8875070626483885E-2</v>
      </c>
      <c r="M31" s="8">
        <f t="shared" si="15"/>
        <v>-1.8795135340411943E-3</v>
      </c>
      <c r="N31" s="8">
        <f t="shared" si="15"/>
        <v>-4.6995557092442741E-2</v>
      </c>
    </row>
    <row r="32" spans="1:14" x14ac:dyDescent="0.35">
      <c r="A32" s="3">
        <v>1150000106</v>
      </c>
      <c r="B32" s="3" t="s">
        <v>24</v>
      </c>
      <c r="C32" s="4" t="s">
        <v>26</v>
      </c>
      <c r="D32" s="7">
        <f t="shared" si="0"/>
        <v>-0.11764705882352941</v>
      </c>
      <c r="E32" s="8">
        <f t="shared" si="1"/>
        <v>-2.8195059586320244E-3</v>
      </c>
      <c r="F32" s="7">
        <f t="shared" ref="F32:I32" si="16">IFERROR((V9-F9)/F9,0)</f>
        <v>0</v>
      </c>
      <c r="G32" s="7">
        <f t="shared" si="16"/>
        <v>0.5</v>
      </c>
      <c r="H32" s="7">
        <f t="shared" si="16"/>
        <v>1.7045454545454544E-2</v>
      </c>
      <c r="I32" s="7">
        <f t="shared" si="16"/>
        <v>0</v>
      </c>
      <c r="J32" s="8">
        <f t="shared" si="3"/>
        <v>8.742604080041072E-3</v>
      </c>
      <c r="K32" s="7">
        <f t="shared" si="4"/>
        <v>-0.59876543209876543</v>
      </c>
      <c r="L32" s="8">
        <f t="shared" ref="L32:N32" si="17">AB9-L9</f>
        <v>5.9913474728289562E-2</v>
      </c>
      <c r="M32" s="8">
        <f t="shared" si="17"/>
        <v>-1.7410572966128513E-3</v>
      </c>
      <c r="N32" s="8">
        <f t="shared" si="17"/>
        <v>-5.8172417431676726E-2</v>
      </c>
    </row>
    <row r="33" spans="1:14" x14ac:dyDescent="0.35">
      <c r="A33" s="3">
        <v>1150000106</v>
      </c>
      <c r="B33" s="3" t="s">
        <v>24</v>
      </c>
      <c r="C33" s="4" t="s">
        <v>27</v>
      </c>
      <c r="D33" s="7">
        <f t="shared" si="0"/>
        <v>-0.26470588235294118</v>
      </c>
      <c r="E33" s="8">
        <f t="shared" si="1"/>
        <v>-1.6211022255284854E-2</v>
      </c>
      <c r="F33" s="7">
        <f t="shared" ref="F33:I33" si="18">IFERROR((V10-F10)/F10,0)</f>
        <v>0</v>
      </c>
      <c r="G33" s="7">
        <f t="shared" si="18"/>
        <v>0</v>
      </c>
      <c r="H33" s="7">
        <f t="shared" si="18"/>
        <v>2.2598870056497175E-2</v>
      </c>
      <c r="I33" s="7">
        <f t="shared" si="18"/>
        <v>0</v>
      </c>
      <c r="J33" s="8">
        <f t="shared" si="3"/>
        <v>6.9193742478941E-3</v>
      </c>
      <c r="K33" s="7">
        <f t="shared" si="4"/>
        <v>-0.54212979562567232</v>
      </c>
      <c r="L33" s="8">
        <f t="shared" ref="L33:N33" si="19">AB10-L10</f>
        <v>7.0029843722668073E-2</v>
      </c>
      <c r="M33" s="8">
        <f t="shared" si="19"/>
        <v>-4.7844297136670428E-3</v>
      </c>
      <c r="N33" s="8">
        <f t="shared" si="19"/>
        <v>-6.5245414009001135E-2</v>
      </c>
    </row>
    <row r="34" spans="1:14" x14ac:dyDescent="0.35">
      <c r="A34" s="3">
        <v>1150000106</v>
      </c>
      <c r="B34" s="3" t="s">
        <v>24</v>
      </c>
      <c r="C34" s="4" t="s">
        <v>28</v>
      </c>
      <c r="D34" s="7">
        <f t="shared" si="0"/>
        <v>-0.1111111111111111</v>
      </c>
      <c r="E34" s="8">
        <f t="shared" si="1"/>
        <v>-2.2441588620849585E-3</v>
      </c>
      <c r="F34" s="7">
        <f t="shared" ref="F34:I34" si="20">IFERROR((V11-F11)/F11,0)</f>
        <v>0</v>
      </c>
      <c r="G34" s="7">
        <f t="shared" si="20"/>
        <v>-0.4</v>
      </c>
      <c r="H34" s="7">
        <f t="shared" si="20"/>
        <v>7.1428571428571425E-2</v>
      </c>
      <c r="I34" s="7">
        <f t="shared" si="20"/>
        <v>0</v>
      </c>
      <c r="J34" s="8">
        <f t="shared" si="3"/>
        <v>8.5600761709451745E-3</v>
      </c>
      <c r="K34" s="7">
        <f t="shared" si="4"/>
        <v>-0.57055214723926384</v>
      </c>
      <c r="L34" s="8">
        <f t="shared" ref="L34:N34" si="21">AB11-L11</f>
        <v>1.527899503359631E-2</v>
      </c>
      <c r="M34" s="8">
        <f t="shared" si="21"/>
        <v>-1.3828026097964744E-3</v>
      </c>
      <c r="N34" s="8">
        <f t="shared" si="21"/>
        <v>-1.3896192423799802E-2</v>
      </c>
    </row>
    <row r="35" spans="1:14" x14ac:dyDescent="0.35">
      <c r="A35" s="3">
        <v>1150000106</v>
      </c>
      <c r="B35" s="3" t="s">
        <v>24</v>
      </c>
      <c r="C35" s="4" t="s">
        <v>29</v>
      </c>
      <c r="D35" s="7">
        <f t="shared" si="0"/>
        <v>-9.0909090909090912E-2</v>
      </c>
      <c r="E35" s="8">
        <f t="shared" si="1"/>
        <v>-1.5576323987538925E-3</v>
      </c>
      <c r="F35" s="7">
        <f t="shared" ref="F35:I35" si="22">IFERROR((V12-F12)/F12,0)</f>
        <v>0</v>
      </c>
      <c r="G35" s="7">
        <f t="shared" si="22"/>
        <v>-3.8461538461538464E-2</v>
      </c>
      <c r="H35" s="7">
        <f t="shared" si="22"/>
        <v>-3.614457831325301E-2</v>
      </c>
      <c r="I35" s="7">
        <f t="shared" si="22"/>
        <v>0</v>
      </c>
      <c r="J35" s="8">
        <f t="shared" si="3"/>
        <v>-4.6376912539759785E-3</v>
      </c>
      <c r="K35" s="7">
        <f t="shared" si="4"/>
        <v>-0.55066771406127257</v>
      </c>
      <c r="L35" s="8">
        <f t="shared" ref="L35:N35" si="23">AB12-L12</f>
        <v>2.7691868226039529E-2</v>
      </c>
      <c r="M35" s="8">
        <f t="shared" si="23"/>
        <v>7.2704200748191332E-3</v>
      </c>
      <c r="N35" s="8">
        <f t="shared" si="23"/>
        <v>-3.4962288300858596E-2</v>
      </c>
    </row>
    <row r="36" spans="1:14" x14ac:dyDescent="0.35">
      <c r="A36" s="2">
        <v>1150000106</v>
      </c>
      <c r="B36" s="3" t="s">
        <v>24</v>
      </c>
      <c r="C36" s="4" t="s">
        <v>30</v>
      </c>
      <c r="D36" s="7">
        <f t="shared" si="0"/>
        <v>-0.27272727272727271</v>
      </c>
      <c r="E36" s="8">
        <f t="shared" si="1"/>
        <v>-6.529959845620055E-3</v>
      </c>
      <c r="F36" s="7">
        <f t="shared" ref="F36:I36" si="24">IFERROR((V13-F13)/F13,0)</f>
        <v>0</v>
      </c>
      <c r="G36" s="7">
        <f t="shared" si="24"/>
        <v>-8.8235294117647065E-2</v>
      </c>
      <c r="H36" s="7">
        <f t="shared" si="24"/>
        <v>1.4925373134328358E-2</v>
      </c>
      <c r="I36" s="7">
        <f t="shared" si="24"/>
        <v>0</v>
      </c>
      <c r="J36" s="8">
        <f t="shared" si="3"/>
        <v>6.7817281395520512E-3</v>
      </c>
      <c r="K36" s="7">
        <f t="shared" si="4"/>
        <v>-0.45743989603638724</v>
      </c>
      <c r="L36" s="8">
        <f t="shared" ref="L36:N36" si="25">AB13-L13</f>
        <v>1.6005416068447853E-2</v>
      </c>
      <c r="M36" s="8">
        <f t="shared" si="25"/>
        <v>7.0198783719111479E-3</v>
      </c>
      <c r="N36" s="8">
        <f t="shared" si="25"/>
        <v>-2.3025294440359029E-2</v>
      </c>
    </row>
    <row r="37" spans="1:14" x14ac:dyDescent="0.35">
      <c r="A37" s="2">
        <v>1150000140</v>
      </c>
      <c r="B37" s="3" t="s">
        <v>31</v>
      </c>
      <c r="C37" s="4" t="s">
        <v>15</v>
      </c>
      <c r="D37" s="7">
        <f t="shared" si="0"/>
        <v>0</v>
      </c>
      <c r="E37" s="8">
        <f t="shared" si="1"/>
        <v>0</v>
      </c>
      <c r="F37" s="7">
        <f t="shared" ref="F37:I37" si="26">IFERROR((V14-F14)/F14,0)</f>
        <v>0</v>
      </c>
      <c r="G37" s="7">
        <f t="shared" si="26"/>
        <v>0</v>
      </c>
      <c r="H37" s="7">
        <f t="shared" si="26"/>
        <v>0.18181818181818182</v>
      </c>
      <c r="I37" s="7">
        <f t="shared" si="26"/>
        <v>0</v>
      </c>
      <c r="J37" s="8">
        <f t="shared" si="3"/>
        <v>1.564828614008941E-2</v>
      </c>
      <c r="K37" s="7">
        <f t="shared" si="4"/>
        <v>1.7921146953405017E-2</v>
      </c>
      <c r="L37" s="8">
        <f t="shared" ref="L37:N37" si="27">AB14-L14</f>
        <v>-2.6528345701448797E-2</v>
      </c>
      <c r="M37" s="8">
        <f t="shared" si="27"/>
        <v>-4.2152556918572323E-3</v>
      </c>
      <c r="N37" s="8">
        <f t="shared" si="27"/>
        <v>3.0743601393306071E-2</v>
      </c>
    </row>
    <row r="38" spans="1:14" x14ac:dyDescent="0.35">
      <c r="A38" s="3">
        <v>1150000149</v>
      </c>
      <c r="B38" s="3" t="s">
        <v>32</v>
      </c>
      <c r="C38" s="4" t="s">
        <v>33</v>
      </c>
      <c r="D38" s="7">
        <f t="shared" si="0"/>
        <v>0</v>
      </c>
      <c r="E38" s="8">
        <f t="shared" si="1"/>
        <v>0</v>
      </c>
      <c r="F38" s="7">
        <f t="shared" ref="F38:I38" si="28">IFERROR((V15-F15)/F15,0)</f>
        <v>0</v>
      </c>
      <c r="G38" s="7">
        <f t="shared" si="28"/>
        <v>0</v>
      </c>
      <c r="H38" s="7">
        <f t="shared" si="28"/>
        <v>0</v>
      </c>
      <c r="I38" s="7">
        <f t="shared" si="28"/>
        <v>0</v>
      </c>
      <c r="J38" s="8">
        <f t="shared" si="3"/>
        <v>1.6708437761069339E-3</v>
      </c>
      <c r="K38" s="7">
        <f t="shared" si="4"/>
        <v>-8.5959885386819479E-2</v>
      </c>
      <c r="L38" s="8">
        <f t="shared" ref="L38:N38" si="29">AB15-L15</f>
        <v>5.343525163701035E-2</v>
      </c>
      <c r="M38" s="8">
        <f t="shared" si="29"/>
        <v>0</v>
      </c>
      <c r="N38" s="8">
        <f t="shared" si="29"/>
        <v>-5.3435251637010336E-2</v>
      </c>
    </row>
    <row r="39" spans="1:14" x14ac:dyDescent="0.35">
      <c r="A39" s="2">
        <v>1150000149</v>
      </c>
      <c r="B39" s="3" t="s">
        <v>32</v>
      </c>
      <c r="C39" s="4" t="s">
        <v>34</v>
      </c>
      <c r="D39" s="7">
        <f t="shared" si="0"/>
        <v>0</v>
      </c>
      <c r="E39" s="8">
        <f t="shared" si="1"/>
        <v>0</v>
      </c>
      <c r="F39" s="7">
        <f t="shared" ref="F39:I39" si="30">IFERROR((V16-F16)/F16,0)</f>
        <v>0</v>
      </c>
      <c r="G39" s="7">
        <f t="shared" si="30"/>
        <v>0</v>
      </c>
      <c r="H39" s="7">
        <f t="shared" si="30"/>
        <v>0.13333333333333333</v>
      </c>
      <c r="I39" s="7">
        <f t="shared" si="30"/>
        <v>0</v>
      </c>
      <c r="J39" s="8">
        <f t="shared" si="3"/>
        <v>2.515723270440251E-2</v>
      </c>
      <c r="K39" s="7">
        <f t="shared" si="4"/>
        <v>-7.922912205567452E-2</v>
      </c>
      <c r="L39" s="8">
        <f t="shared" ref="L39:N39" si="31">AB16-L16</f>
        <v>5.7651511378915443E-2</v>
      </c>
      <c r="M39" s="8">
        <f t="shared" si="31"/>
        <v>0</v>
      </c>
      <c r="N39" s="8">
        <f t="shared" si="31"/>
        <v>-5.7651511378915388E-2</v>
      </c>
    </row>
  </sheetData>
  <pageMargins left="0.7" right="0.7" top="0.75" bottom="0.75" header="0.3" footer="0.3"/>
  <pageSetup orientation="portrait" r:id="rId1"/>
  <ignoredErrors>
    <ignoredError sqref="E25:E39 J25:J3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Ahmad</dc:creator>
  <cp:lastModifiedBy>Khalid Ahmad</cp:lastModifiedBy>
  <dcterms:created xsi:type="dcterms:W3CDTF">2025-12-10T08:44:36Z</dcterms:created>
  <dcterms:modified xsi:type="dcterms:W3CDTF">2025-12-10T08:55:23Z</dcterms:modified>
</cp:coreProperties>
</file>